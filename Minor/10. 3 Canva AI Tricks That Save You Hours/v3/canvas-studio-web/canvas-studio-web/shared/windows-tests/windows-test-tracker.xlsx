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nual cases" sheetId="2" state="visible" r:id="rId2"/>
    <sheet xmlns:r="http://schemas.openxmlformats.org/officeDocument/2006/relationships" name="Automated results" sheetId="3" state="visible" r:id="rId3"/>
  </sheets>
  <definedNames>
    <definedName name="_xlnm._FilterDatabase" localSheetId="1" hidden="1">'Manual cases'!$A$4:$I$34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555555"/>
      <sz val="9"/>
    </font>
  </fonts>
  <fills count="3">
    <fill>
      <patternFill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9" min="1" max="1"/>
    <col width="14" customWidth="1" style="9" min="2" max="2"/>
  </cols>
  <sheetData>
    <row r="1" ht="17.35" customHeight="1" s="10">
      <c r="A1" s="11" t="inlineStr">
        <is>
          <t>Canvas Studio 2.0 - Windows test summary</t>
        </is>
      </c>
    </row>
    <row r="3" ht="15" customHeight="1" s="10">
      <c r="A3" s="12" t="inlineStr">
        <is>
          <t>Measure</t>
        </is>
      </c>
      <c r="B3" s="12" t="inlineStr">
        <is>
          <t>Count</t>
        </is>
      </c>
    </row>
    <row r="4" ht="15" customHeight="1" s="10">
      <c r="A4" s="13" t="inlineStr">
        <is>
          <t>Manual cases in total</t>
        </is>
      </c>
      <c r="B4" s="14">
        <f>COUNTA('Manual cases'!A5:A34)</f>
        <v/>
      </c>
    </row>
    <row r="5" ht="15" customHeight="1" s="10">
      <c r="A5" s="13" t="inlineStr">
        <is>
          <t>Pass</t>
        </is>
      </c>
      <c r="B5" s="14">
        <f>COUNTIF('Manual cases'!E5:E34,"Pass")</f>
        <v/>
      </c>
    </row>
    <row r="6" ht="15" customHeight="1" s="10">
      <c r="A6" s="13" t="inlineStr">
        <is>
          <t>Fail</t>
        </is>
      </c>
      <c r="B6" s="14">
        <f>COUNTIF('Manual cases'!E5:E34,"Fail")</f>
        <v/>
      </c>
    </row>
    <row r="7" ht="15" customHeight="1" s="10">
      <c r="A7" s="13" t="inlineStr">
        <is>
          <t>Blocked</t>
        </is>
      </c>
      <c r="B7" s="14">
        <f>COUNTIF('Manual cases'!E5:E34,"Blocked")</f>
        <v/>
      </c>
    </row>
    <row r="8" ht="15" customHeight="1" s="10">
      <c r="A8" s="13" t="inlineStr">
        <is>
          <t>N/A</t>
        </is>
      </c>
      <c r="B8" s="14">
        <f>COUNTIF('Manual cases'!E5:E34,"N/A")</f>
        <v/>
      </c>
    </row>
    <row r="9" ht="15" customHeight="1" s="10">
      <c r="A9" s="13" t="inlineStr">
        <is>
          <t>Not yet run</t>
        </is>
      </c>
      <c r="B9" s="14">
        <f>B4-B5-B6-B7-B8</f>
        <v/>
      </c>
    </row>
    <row r="10" ht="15" customHeight="1" s="10">
      <c r="A10" s="13" t="inlineStr">
        <is>
          <t>Pass rate of cases run (excluding N/A)</t>
        </is>
      </c>
      <c r="B10" s="15">
        <f>IF(B5+B6+B7=0,"",B5/(B5+B6+B7))</f>
        <v/>
      </c>
    </row>
    <row r="11" ht="15" customHeight="1" s="10">
      <c r="A11" s="13" t="inlineStr">
        <is>
          <t>Automated steps failing on Windows</t>
        </is>
      </c>
      <c r="B11" s="14">
        <f>COUNTIF('Automated results'!D5:D13,"FAIL")</f>
        <v/>
      </c>
    </row>
    <row r="13" ht="15" customHeight="1" s="10">
      <c r="A13" s="16" t="inlineStr">
        <is>
          <t>Release gate: no Fail in W-01, W-03/W-04, W-08, W-09, W-10, W-13, W-15, W-25, W-26, and 0 failing automated steps.</t>
        </is>
      </c>
    </row>
    <row r="14" ht="15" customHeight="1" s="10">
      <c r="A14" s="16" t="inlineStr">
        <is>
          <t>Not yet tested anywhere: real Canva sign-in/push, real AI key, the Windows desktop window, the Windows-built exe.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20" customWidth="1" style="9" min="2" max="2"/>
    <col width="55" customWidth="1" style="9" min="3" max="3"/>
    <col width="60" customWidth="1" style="9" min="4" max="4"/>
    <col width="12" customWidth="1" style="9" min="5" max="5"/>
    <col width="16" customWidth="1" style="9" min="6" max="6"/>
    <col width="14" customWidth="1" style="9" min="7" max="7"/>
    <col width="12" customWidth="1" style="9" min="8" max="8"/>
    <col width="40" customWidth="1" style="9" min="9" max="9"/>
  </cols>
  <sheetData>
    <row r="1" ht="17.35" customHeight="1" s="10">
      <c r="A1" s="11" t="inlineStr">
        <is>
          <t>Canvas Studio 2.0 - manual Windows test cases</t>
        </is>
      </c>
    </row>
    <row r="2" ht="15" customHeight="1" s="10">
      <c r="A2" s="17" t="inlineStr">
        <is>
          <t>Choose a result in column E (Pass / Fail / Blocked / N/A). Environment IDs are defined in WINDOWS_TEST_DOCUMENT.md section 2.</t>
        </is>
      </c>
    </row>
    <row r="4" ht="26.85" customHeight="1" s="10">
      <c r="A4" s="12" t="inlineStr">
        <is>
          <t>ID</t>
        </is>
      </c>
      <c r="B4" s="12" t="inlineStr">
        <is>
          <t>Area</t>
        </is>
      </c>
      <c r="C4" s="12" t="inlineStr">
        <is>
          <t>Steps</t>
        </is>
      </c>
      <c r="D4" s="12" t="inlineStr">
        <is>
          <t>Expected result</t>
        </is>
      </c>
      <c r="E4" s="12" t="inlineStr">
        <is>
          <t>Result</t>
        </is>
      </c>
      <c r="F4" s="12" t="inlineStr">
        <is>
          <t>Environment (E1-E5)</t>
        </is>
      </c>
      <c r="G4" s="12" t="inlineStr">
        <is>
          <t>Tester</t>
        </is>
      </c>
      <c r="H4" s="12" t="inlineStr">
        <is>
          <t>Date</t>
        </is>
      </c>
      <c r="I4" s="12" t="inlineStr">
        <is>
          <t>Notes / defect</t>
        </is>
      </c>
    </row>
    <row r="5" ht="35.05" customHeight="1" s="10">
      <c r="A5" s="18" t="inlineStr">
        <is>
          <t>W-01</t>
        </is>
      </c>
      <c r="B5" s="18" t="inlineStr">
        <is>
          <t>Install / start</t>
        </is>
      </c>
      <c r="C5" s="18" t="inlineStr">
        <is>
          <t>Extract the zip to a normal folder. Double-click run.bat (website package) on a PC that has never run it.</t>
        </is>
      </c>
      <c r="D5" s="18" t="inlineStr">
        <is>
          <t>A console opens, creates .venv, installs libraries (1-3 min), the browser opens at http://127.0.0.1:5000 showing 'New project'. No error text in the console.</t>
        </is>
      </c>
      <c r="E5" s="18" t="n"/>
      <c r="F5" s="18" t="n"/>
      <c r="G5" s="18" t="n"/>
      <c r="H5" s="18" t="n"/>
      <c r="I5" s="18" t="n"/>
    </row>
    <row r="6" ht="15" customHeight="1" s="10">
      <c r="A6" s="18" t="inlineStr">
        <is>
          <t>W-02</t>
        </is>
      </c>
      <c r="B6" s="18" t="inlineStr">
        <is>
          <t>Install / start</t>
        </is>
      </c>
      <c r="C6" s="18" t="inlineStr">
        <is>
          <t>Close it and double-click run.bat (website package) again.</t>
        </is>
      </c>
      <c r="D6" s="18" t="inlineStr">
        <is>
          <t>Starts in a few seconds (no reinstall). Your earlier projects are listed.</t>
        </is>
      </c>
      <c r="E6" s="18" t="n"/>
      <c r="F6" s="18" t="n"/>
      <c r="G6" s="18" t="n"/>
      <c r="H6" s="18" t="n"/>
      <c r="I6" s="18" t="n"/>
    </row>
    <row r="7" ht="23.85" customHeight="1" s="10">
      <c r="A7" s="18" t="inlineStr">
        <is>
          <t>W-03</t>
        </is>
      </c>
      <c r="B7" s="18" t="inlineStr">
        <is>
          <t>Desktop window</t>
        </is>
      </c>
      <c r="C7" s="18" t="inlineStr">
        <is>
          <t>Double-click run.bat (desktop package).</t>
        </is>
      </c>
      <c r="D7" s="18" t="inlineStr">
        <is>
          <t>A native 'Canvas Studio' window (not a browser tab) opens with the same interface. Closing the window ends the program.</t>
        </is>
      </c>
      <c r="E7" s="18" t="n"/>
      <c r="F7" s="18" t="n"/>
      <c r="G7" s="18" t="n"/>
      <c r="H7" s="18" t="n"/>
      <c r="I7" s="18" t="n"/>
    </row>
    <row r="8" ht="23.85" customHeight="1" s="10">
      <c r="A8" s="18" t="inlineStr">
        <is>
          <t>W-04</t>
        </is>
      </c>
      <c r="B8" s="18" t="inlineStr">
        <is>
          <t>Desktop window</t>
        </is>
      </c>
      <c r="C8" s="18" t="inlineStr">
        <is>
          <t>On a PC/VM without the WebView2 runtime (or rename it temporarily), run run.bat (desktop package).</t>
        </is>
      </c>
      <c r="D8" s="18" t="inlineStr">
        <is>
          <t>Console says it could not open a window and opens the default browser instead; the app works there.</t>
        </is>
      </c>
      <c r="E8" s="18" t="n"/>
      <c r="F8" s="18" t="n"/>
      <c r="G8" s="18" t="n"/>
      <c r="H8" s="18" t="n"/>
      <c r="I8" s="18" t="n"/>
    </row>
    <row r="9" ht="23.85" customHeight="1" s="10">
      <c r="A9" s="18" t="inlineStr">
        <is>
          <t>W-05</t>
        </is>
      </c>
      <c r="B9" s="18" t="inlineStr">
        <is>
          <t>Packaging</t>
        </is>
      </c>
      <c r="C9" s="18" t="inlineStr">
        <is>
          <t>Run build_windows.bat (desktop package). Copy dist\CanvasStudio to a PC WITHOUT Python and double-click CanvasStudio.exe.</t>
        </is>
      </c>
      <c r="D9" s="18" t="inlineStr">
        <is>
          <t>Build succeeds; the exe opens the window. Exports (PDF/PPTX/DOCX) and the editor work (this proves the bundled templates and fonts).</t>
        </is>
      </c>
      <c r="E9" s="18" t="n"/>
      <c r="F9" s="18" t="n"/>
      <c r="G9" s="18" t="n"/>
      <c r="H9" s="18" t="n"/>
      <c r="I9" s="18" t="n"/>
    </row>
    <row r="10" ht="35.05" customHeight="1" s="10">
      <c r="A10" s="18" t="inlineStr">
        <is>
          <t>W-06</t>
        </is>
      </c>
      <c r="B10" s="18" t="inlineStr">
        <is>
          <t>Packaging</t>
        </is>
      </c>
      <c r="C10" s="18" t="inlineStr">
        <is>
          <t>Open the unsigned exe from a downloaded zip.</t>
        </is>
      </c>
      <c r="D10" s="18" t="inlineStr">
        <is>
          <t>Expected: Windows SmartScreen warning ('More info' -&gt; 'Run anyway'). Record whether antivirus flags it. (Code-signing is the fix for wider distribution.)</t>
        </is>
      </c>
      <c r="E10" s="18" t="n"/>
      <c r="F10" s="18" t="n"/>
      <c r="G10" s="18" t="n"/>
      <c r="H10" s="18" t="n"/>
      <c r="I10" s="18" t="n"/>
    </row>
    <row r="11" ht="23.85" customHeight="1" s="10">
      <c r="A11" s="18" t="inlineStr">
        <is>
          <t>W-07</t>
        </is>
      </c>
      <c r="B11" s="18" t="inlineStr">
        <is>
          <t>Network</t>
        </is>
      </c>
      <c r="C11" s="18" t="inlineStr">
        <is>
          <t>Watch for a Windows Firewall prompt on first run of web and desktop apps.</t>
        </is>
      </c>
      <c r="D11" s="18" t="inlineStr">
        <is>
          <t>No prompt (the server only listens on 127.0.0.1). If a prompt appears, click Cancel/Block and confirm the app still works.</t>
        </is>
      </c>
      <c r="E11" s="18" t="n"/>
      <c r="F11" s="18" t="n"/>
      <c r="G11" s="18" t="n"/>
      <c r="H11" s="18" t="n"/>
      <c r="I11" s="18" t="n"/>
    </row>
    <row r="12" ht="35.05" customHeight="1" s="10">
      <c r="A12" s="18" t="inlineStr">
        <is>
          <t>W-08</t>
        </is>
      </c>
      <c r="B12" s="18" t="inlineStr">
        <is>
          <t>Downloads</t>
        </is>
      </c>
      <c r="C12" s="18" t="inlineStr">
        <is>
          <t>In the DESKTOP window: Download -&gt; PDF, PowerPoint, PNG zip; on a document: Word. Repeat in the website (Edge and Chrome).</t>
        </is>
      </c>
      <c r="D12" s="18" t="inlineStr">
        <is>
          <t>Each file is saved (location noted) and opens. Desktop window: downloads work or - if the window blocks them - note exactly what happens.</t>
        </is>
      </c>
      <c r="E12" s="18" t="n"/>
      <c r="F12" s="18" t="n"/>
      <c r="G12" s="18" t="n"/>
      <c r="H12" s="18" t="n"/>
      <c r="I12" s="18" t="n"/>
    </row>
    <row r="13" ht="23.85" customHeight="1" s="10">
      <c r="A13" s="18" t="inlineStr">
        <is>
          <t>W-09</t>
        </is>
      </c>
      <c r="B13" s="18" t="inlineStr">
        <is>
          <t>Office files</t>
        </is>
      </c>
      <c r="C13" s="18" t="inlineStr">
        <is>
          <t>Open the exported .pptx in PowerPoint.</t>
        </is>
      </c>
      <c r="D13" s="18" t="inlineStr">
        <is>
          <t>Slides have editable text boxes, bullets, shapes and the background picture; text fits its boxes. Note font substitution if Poppins is not installed.</t>
        </is>
      </c>
      <c r="E13" s="18" t="n"/>
      <c r="F13" s="18" t="n"/>
      <c r="G13" s="18" t="n"/>
      <c r="H13" s="18" t="n"/>
      <c r="I13" s="18" t="n"/>
    </row>
    <row r="14" ht="23.85" customHeight="1" s="10">
      <c r="A14" s="18" t="inlineStr">
        <is>
          <t>W-10</t>
        </is>
      </c>
      <c r="B14" s="18" t="inlineStr">
        <is>
          <t>Office files</t>
        </is>
      </c>
      <c r="C14" s="18" t="inlineStr">
        <is>
          <t>Open the exported .docx in Word.</t>
        </is>
      </c>
      <c r="D14" s="18" t="inlineStr">
        <is>
          <t>Title, headings and bullet lists use real styles; text is editable; colours match the preview.</t>
        </is>
      </c>
      <c r="E14" s="18" t="n"/>
      <c r="F14" s="18" t="n"/>
      <c r="G14" s="18" t="n"/>
      <c r="H14" s="18" t="n"/>
      <c r="I14" s="18" t="n"/>
    </row>
    <row r="15" ht="35.05" customHeight="1" s="10">
      <c r="A15" s="18" t="inlineStr">
        <is>
          <t>W-11</t>
        </is>
      </c>
      <c r="B15" s="18" t="inlineStr">
        <is>
          <t>Real Canva (website)</t>
        </is>
      </c>
      <c r="C15" s="18" t="inlineStr">
        <is>
          <t>Settings -&gt; paste your Canva client id/secret (after creating an integration and registering http://127.0.0.1:5000/oauth/callback with the scopes listed). Sign in.</t>
        </is>
      </c>
      <c r="D15" s="18" t="inlineStr">
        <is>
          <t>Browser goes to canva.com/api/oauth/authorize, you type your email on Canva's page and approve, you return to the app showing 'Canva: &lt;your name&gt;'. If Canva rejects the http redirect, record its exact message.</t>
        </is>
      </c>
      <c r="E15" s="18" t="n"/>
      <c r="F15" s="18" t="n"/>
      <c r="G15" s="18" t="n"/>
      <c r="H15" s="18" t="n"/>
      <c r="I15" s="18" t="n"/>
    </row>
    <row r="16" ht="23.85" customHeight="1" s="10">
      <c r="A16" s="18" t="inlineStr">
        <is>
          <t>W-12</t>
        </is>
      </c>
      <c r="B16" s="18" t="inlineStr">
        <is>
          <t>Real Canva (desktop)</t>
        </is>
      </c>
      <c r="C16" s="18" t="inlineStr">
        <is>
          <t>Same, in the desktop app (redirect http://127.0.0.1:5001/oauth/callback).</t>
        </is>
      </c>
      <c r="D16" s="18" t="inlineStr">
        <is>
          <t>Your normal browser opens for sign-in; after approving, the callback tab says 'Signed in' and the app window updates within a few seconds.</t>
        </is>
      </c>
      <c r="E16" s="18" t="n"/>
      <c r="F16" s="18" t="n"/>
      <c r="G16" s="18" t="n"/>
      <c r="H16" s="18" t="n"/>
      <c r="I16" s="18" t="n"/>
    </row>
    <row r="17" ht="35.05" customHeight="1" s="10">
      <c r="A17" s="18" t="inlineStr">
        <is>
          <t>W-13</t>
        </is>
      </c>
      <c r="B17" s="18" t="inlineStr">
        <is>
          <t>Real Canva push</t>
        </is>
      </c>
      <c r="C17" s="18" t="inlineStr">
        <is>
          <t>Push a deck, a document and a logo.</t>
        </is>
      </c>
      <c r="D17" s="18" t="inlineStr">
        <is>
          <t>Deck and document appear in Canva with EDITABLE text (click a text box); logo arrives as an image design. Progress text shows in the Push button. 'Open it in Canva' works.</t>
        </is>
      </c>
      <c r="E17" s="18" t="n"/>
      <c r="F17" s="18" t="n"/>
      <c r="G17" s="18" t="n"/>
      <c r="H17" s="18" t="n"/>
      <c r="I17" s="18" t="n"/>
    </row>
    <row r="18" ht="23.85" customHeight="1" s="10">
      <c r="A18" s="18" t="inlineStr">
        <is>
          <t>W-14</t>
        </is>
      </c>
      <c r="B18" s="18" t="inlineStr">
        <is>
          <t>Real Canva push</t>
        </is>
      </c>
      <c r="C18" s="18" t="inlineStr">
        <is>
          <t>If Canva refuses the .pptx/.docx, note the message.</t>
        </is>
      </c>
      <c r="D18" s="18" t="inlineStr">
        <is>
          <t>App falls back to page images and says so ('Canva did not accept the editable file...'). Send us the exact message.</t>
        </is>
      </c>
      <c r="E18" s="18" t="n"/>
      <c r="F18" s="18" t="n"/>
      <c r="G18" s="18" t="n"/>
      <c r="H18" s="18" t="n"/>
      <c r="I18" s="18" t="n"/>
    </row>
    <row r="19" ht="35.05" customHeight="1" s="10">
      <c r="A19" s="18" t="inlineStr">
        <is>
          <t>W-15</t>
        </is>
      </c>
      <c r="B19" s="18" t="inlineStr">
        <is>
          <t>Secrets</t>
        </is>
      </c>
      <c r="C19" s="18" t="inlineStr">
        <is>
          <t>After signing in, open Windows Credential Manager -&gt; Windows Credentials. Also look in %USERPROFILE%\.canvas_studio.</t>
        </is>
      </c>
      <c r="D19" s="18" t="inlineStr">
        <is>
          <t>An entry named CanvasStudio / master-key exists; secrets.enc is unreadable text; no plain tokens anywhere. Deleting the credential makes the app ask you to sign in again but not crash.</t>
        </is>
      </c>
      <c r="E19" s="18" t="n"/>
      <c r="F19" s="18" t="n"/>
      <c r="G19" s="18" t="n"/>
      <c r="H19" s="18" t="n"/>
      <c r="I19" s="18" t="n"/>
    </row>
    <row r="20" ht="23.85" customHeight="1" s="10">
      <c r="A20" s="18" t="inlineStr">
        <is>
          <t>W-16</t>
        </is>
      </c>
      <c r="B20" s="18" t="inlineStr">
        <is>
          <t>Settings</t>
        </is>
      </c>
      <c r="C20" s="18" t="inlineStr">
        <is>
          <t>Settings: save Canva keys, an AI key, a brand kit. Quit and restart the app.</t>
        </is>
      </c>
      <c r="D20" s="18" t="inlineStr">
        <is>
          <t>All persist (keys shown as 'saved', never displayed). Brand kit can be applied from a project's Look tab.</t>
        </is>
      </c>
      <c r="E20" s="18" t="n"/>
      <c r="F20" s="18" t="n"/>
      <c r="G20" s="18" t="n"/>
      <c r="H20" s="18" t="n"/>
      <c r="I20" s="18" t="n"/>
    </row>
    <row r="21" ht="23.85" customHeight="1" s="10">
      <c r="A21" s="18" t="inlineStr">
        <is>
          <t>W-17</t>
        </is>
      </c>
      <c r="B21" s="18" t="inlineStr">
        <is>
          <t>AI (optional)</t>
        </is>
      </c>
      <c r="C21" s="18" t="inlineStr">
        <is>
          <t>With a real Anthropic key: New project -&gt; From my idea.</t>
        </is>
      </c>
      <c r="D21" s="18" t="inlineStr">
        <is>
          <t>Starter text is written by the AI (toast says so). With a wrong key: a plain message and template text is used.</t>
        </is>
      </c>
      <c r="E21" s="18" t="n"/>
      <c r="F21" s="18" t="n"/>
      <c r="G21" s="18" t="n"/>
      <c r="H21" s="18" t="n"/>
      <c r="I21" s="18" t="n"/>
    </row>
    <row r="22" ht="35.05" customHeight="1" s="10">
      <c r="A22" s="18" t="inlineStr">
        <is>
          <t>W-18</t>
        </is>
      </c>
      <c r="B22" s="18" t="inlineStr">
        <is>
          <t>Editor</t>
        </is>
      </c>
      <c r="C22" s="18" t="inlineStr">
        <is>
          <t>Slide -&gt; Edit freely. Drag, resize with handles, add text/shape/picture, arrow keys, Delete, Ctrl+Z / Ctrl+Y. Try mouse AND touch/pen if available.</t>
        </is>
      </c>
      <c r="D22" s="18" t="inlineStr">
        <is>
          <t>Boxes follow the pointer smoothly, preview matches after a moment, undo/redo step back and forth, nothing jumps or is lost.</t>
        </is>
      </c>
      <c r="E22" s="18" t="n"/>
      <c r="F22" s="18" t="n"/>
      <c r="G22" s="18" t="n"/>
      <c r="H22" s="18" t="n"/>
      <c r="I22" s="18" t="n"/>
    </row>
    <row r="23" ht="23.85" customHeight="1" s="10">
      <c r="A23" s="18" t="inlineStr">
        <is>
          <t>W-19</t>
        </is>
      </c>
      <c r="B23" s="18" t="inlineStr">
        <is>
          <t>Display</t>
        </is>
      </c>
      <c r="C23" s="18" t="inlineStr">
        <is>
          <t>Windows scaling 100%, 125%, 150%, 200%; move the window between two monitors.</t>
        </is>
      </c>
      <c r="D23" s="18" t="inlineStr">
        <is>
          <t>Text is sharp, layout not cut off, boxes line up with the preview.</t>
        </is>
      </c>
      <c r="E23" s="18" t="n"/>
      <c r="F23" s="18" t="n"/>
      <c r="G23" s="18" t="n"/>
      <c r="H23" s="18" t="n"/>
      <c r="I23" s="18" t="n"/>
    </row>
    <row r="24" ht="15" customHeight="1" s="10">
      <c r="A24" s="18" t="inlineStr">
        <is>
          <t>W-20</t>
        </is>
      </c>
      <c r="B24" s="18" t="inlineStr">
        <is>
          <t>Display</t>
        </is>
      </c>
      <c r="C24" s="18" t="inlineStr">
        <is>
          <t>Windows dark mode on.</t>
        </is>
      </c>
      <c r="D24" s="18" t="inlineStr">
        <is>
          <t>Interface is readable in both light and dark.</t>
        </is>
      </c>
      <c r="E24" s="18" t="n"/>
      <c r="F24" s="18" t="n"/>
      <c r="G24" s="18" t="n"/>
      <c r="H24" s="18" t="n"/>
      <c r="I24" s="18" t="n"/>
    </row>
    <row r="25" ht="23.85" customHeight="1" s="10">
      <c r="A25" s="18" t="inlineStr">
        <is>
          <t>W-21</t>
        </is>
      </c>
      <c r="B25" s="18" t="inlineStr">
        <is>
          <t>Files</t>
        </is>
      </c>
      <c r="C25" s="18" t="inlineStr">
        <is>
          <t>Use a profile whose Documents/home is redirected to OneDrive.</t>
        </is>
      </c>
      <c r="D25" s="18" t="inlineStr">
        <is>
          <t>Saving works; if OneDrive briefly locks a file there is no error. (smoke check shows a WARN for OneDrive.)</t>
        </is>
      </c>
      <c r="E25" s="18" t="n"/>
      <c r="F25" s="18" t="n"/>
      <c r="G25" s="18" t="n"/>
      <c r="H25" s="18" t="n"/>
      <c r="I25" s="18" t="n"/>
    </row>
    <row r="26" ht="23.85" customHeight="1" s="10">
      <c r="A26" s="18" t="inlineStr">
        <is>
          <t>W-22</t>
        </is>
      </c>
      <c r="B26" s="18" t="inlineStr">
        <is>
          <t>Files</t>
        </is>
      </c>
      <c r="C26" s="18" t="inlineStr">
        <is>
          <t>Run from a Windows account whose name has spaces or accents, and unzip into a folder with spaces.</t>
        </is>
      </c>
      <c r="D26" s="18" t="inlineStr">
        <is>
          <t>Everything works (projects, uploads, exports).</t>
        </is>
      </c>
      <c r="E26" s="18" t="n"/>
      <c r="F26" s="18" t="n"/>
      <c r="G26" s="18" t="n"/>
      <c r="H26" s="18" t="n"/>
      <c r="I26" s="18" t="n"/>
    </row>
    <row r="27" ht="15" customHeight="1" s="10">
      <c r="A27" s="18" t="inlineStr">
        <is>
          <t>W-23</t>
        </is>
      </c>
      <c r="B27" s="18" t="inlineStr">
        <is>
          <t>Files</t>
        </is>
      </c>
      <c r="C27" s="18" t="inlineStr">
        <is>
          <t>Unzip into a deeply nested folder (path over 200 characters).</t>
        </is>
      </c>
      <c r="D27" s="18" t="inlineStr">
        <is>
          <t>Either works or the smoke check warns clearly. Record which.</t>
        </is>
      </c>
      <c r="E27" s="18" t="n"/>
      <c r="F27" s="18" t="n"/>
      <c r="G27" s="18" t="n"/>
      <c r="H27" s="18" t="n"/>
      <c r="I27" s="18" t="n"/>
    </row>
    <row r="28" ht="15" customHeight="1" s="10">
      <c r="A28" s="18" t="inlineStr">
        <is>
          <t>W-24</t>
        </is>
      </c>
      <c r="B28" s="18" t="inlineStr">
        <is>
          <t>Ports</t>
        </is>
      </c>
      <c r="C28" s="18" t="inlineStr">
        <is>
          <t>Start something on port 5000 (or 5001) first, then start the app.</t>
        </is>
      </c>
      <c r="D28" s="18" t="inlineStr">
        <is>
          <t>A plain message explains the port is busy and what to do - no stack trace.</t>
        </is>
      </c>
      <c r="E28" s="18" t="n"/>
      <c r="F28" s="18" t="n"/>
      <c r="G28" s="18" t="n"/>
      <c r="H28" s="18" t="n"/>
      <c r="I28" s="18" t="n"/>
    </row>
    <row r="29" ht="23.85" customHeight="1" s="10">
      <c r="A29" s="18" t="inlineStr">
        <is>
          <t>W-25</t>
        </is>
      </c>
      <c r="B29" s="18" t="inlineStr">
        <is>
          <t>Safety</t>
        </is>
      </c>
      <c r="C29" s="18" t="inlineStr">
        <is>
          <t>Open the same project in two browser tabs and edit in both.</t>
        </is>
      </c>
      <c r="D29" s="18" t="inlineStr">
        <is>
          <t>The second tab shows 'This project was changed somewhere else' with a Load button; no work is silently overwritten.</t>
        </is>
      </c>
      <c r="E29" s="18" t="n"/>
      <c r="F29" s="18" t="n"/>
      <c r="G29" s="18" t="n"/>
      <c r="H29" s="18" t="n"/>
      <c r="I29" s="18" t="n"/>
    </row>
    <row r="30" ht="15" customHeight="1" s="10">
      <c r="A30" s="18" t="inlineStr">
        <is>
          <t>W-26</t>
        </is>
      </c>
      <c r="B30" s="18" t="inlineStr">
        <is>
          <t>Safety</t>
        </is>
      </c>
      <c r="C30" s="18" t="inlineStr">
        <is>
          <t>Close the window/tab while 'Saving...' or during a push.</t>
        </is>
      </c>
      <c r="D30" s="18" t="inlineStr">
        <is>
          <t>No corrupt project on reopen; Windows asks to confirm leaving if unsaved.</t>
        </is>
      </c>
      <c r="E30" s="18" t="n"/>
      <c r="F30" s="18" t="n"/>
      <c r="G30" s="18" t="n"/>
      <c r="H30" s="18" t="n"/>
      <c r="I30" s="18" t="n"/>
    </row>
    <row r="31" ht="23.85" customHeight="1" s="10">
      <c r="A31" s="18" t="inlineStr">
        <is>
          <t>W-27</t>
        </is>
      </c>
      <c r="B31" s="18" t="inlineStr">
        <is>
          <t>Offline</t>
        </is>
      </c>
      <c r="C31" s="18" t="inlineStr">
        <is>
          <t>Disconnect from the internet and use the demo mode.</t>
        </is>
      </c>
      <c r="D31" s="18" t="inlineStr">
        <is>
          <t>Everything works (fonts are local). Real Canva/AI show a clear 'could not reach' message.</t>
        </is>
      </c>
      <c r="E31" s="18" t="n"/>
      <c r="F31" s="18" t="n"/>
      <c r="G31" s="18" t="n"/>
      <c r="H31" s="18" t="n"/>
      <c r="I31" s="18" t="n"/>
    </row>
    <row r="32" ht="15" customHeight="1" s="10">
      <c r="A32" s="18" t="inlineStr">
        <is>
          <t>W-28</t>
        </is>
      </c>
      <c r="B32" s="18" t="inlineStr">
        <is>
          <t>Layout</t>
        </is>
      </c>
      <c r="C32" s="18" t="inlineStr">
        <is>
          <t>Resize the browser to phone width (Edge DevTools device mode).</t>
        </is>
      </c>
      <c r="D32" s="18" t="inlineStr">
        <is>
          <t>Single column; buttons reachable; preview visible.</t>
        </is>
      </c>
      <c r="E32" s="18" t="n"/>
      <c r="F32" s="18" t="n"/>
      <c r="G32" s="18" t="n"/>
      <c r="H32" s="18" t="n"/>
      <c r="I32" s="18" t="n"/>
    </row>
    <row r="33" ht="23.85" customHeight="1" s="10">
      <c r="A33" s="18" t="inlineStr">
        <is>
          <t>W-29</t>
        </is>
      </c>
      <c r="B33" s="18" t="inlineStr">
        <is>
          <t>Cleanup</t>
        </is>
      </c>
      <c r="C33" s="18" t="inlineStr">
        <is>
          <t>Delete %USERPROFILE%\.canvas_studio and the CanvasStudio credential.</t>
        </is>
      </c>
      <c r="D33" s="18" t="inlineStr">
        <is>
          <t>App starts fresh with no errors.</t>
        </is>
      </c>
      <c r="E33" s="18" t="n"/>
      <c r="F33" s="18" t="n"/>
      <c r="G33" s="18" t="n"/>
      <c r="H33" s="18" t="n"/>
      <c r="I33" s="18" t="n"/>
    </row>
    <row r="34" ht="23.85" customHeight="1" s="10">
      <c r="A34" s="18" t="inlineStr">
        <is>
          <t>W-30</t>
        </is>
      </c>
      <c r="B34" s="18" t="inlineStr">
        <is>
          <t>Installer (if built)</t>
        </is>
      </c>
      <c r="C34" s="18" t="inlineStr">
        <is>
          <t>Install CanvasStudio-Setup.exe for the current user, launch from Start menu, then uninstall.</t>
        </is>
      </c>
      <c r="D34" s="18" t="inlineStr">
        <is>
          <t>No admin rights needed; shortcut works; uninstall removes the program (your projects stay in .canvas_studio).</t>
        </is>
      </c>
      <c r="E34" s="18" t="n"/>
      <c r="F34" s="18" t="n"/>
      <c r="G34" s="18" t="n"/>
      <c r="H34" s="18" t="n"/>
      <c r="I34" s="18" t="n"/>
    </row>
  </sheetData>
  <autoFilter ref="A4:I34"/>
  <conditionalFormatting sqref="E5:E34">
    <cfRule type="cellIs" rank="0" priority="2" equalAverage="0" operator="equal" aboveAverage="0" dxfId="3" text="" percent="0" bottom="0">
      <formula>"Pass"</formula>
    </cfRule>
    <cfRule type="cellIs" rank="0" priority="3" equalAverage="0" operator="equal" aboveAverage="0" dxfId="4" text="" percent="0" bottom="0">
      <formula>"Fail"</formula>
    </cfRule>
    <cfRule type="cellIs" rank="0" priority="4" equalAverage="0" operator="equal" aboveAverage="0" dxfId="5" text="" percent="0" bottom="0">
      <formula>"Blocked"</formula>
    </cfRule>
  </conditionalFormatting>
  <dataValidations count="1">
    <dataValidation sqref="E5:E34" showDropDown="0" showInputMessage="0" showErrorMessage="0" allowBlank="1" type="list" errorStyle="stop" operator="between">
      <formula1>"Pass,Fail,Blocked,N/A"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9" min="1" max="1"/>
    <col width="70" customWidth="1" style="9" min="2" max="2"/>
    <col width="34" customWidth="1" style="9" min="3" max="3"/>
    <col width="16" customWidth="1" style="9" min="4" max="5"/>
    <col width="40" customWidth="1" style="9" min="6" max="6"/>
  </cols>
  <sheetData>
    <row r="1" ht="17.35" customHeight="1" s="10">
      <c r="A1" s="11" t="inlineStr">
        <is>
          <t>Automated steps (run-windows-tests.bat)</t>
        </is>
      </c>
    </row>
    <row r="2" ht="15" customHeight="1" s="10">
      <c r="A2" s="17" t="inlineStr">
        <is>
          <t>Column C = what I recorded on Linux (PowerShell 7 on Linux for the script itself). Fill D-F from windows-test-report.md on the Windows PC.</t>
        </is>
      </c>
    </row>
    <row r="4" ht="15" customHeight="1" s="10">
      <c r="A4" s="12" t="inlineStr">
        <is>
          <t>Step</t>
        </is>
      </c>
      <c r="B4" s="12" t="inlineStr">
        <is>
          <t>What it proves</t>
        </is>
      </c>
      <c r="C4" s="12" t="inlineStr">
        <is>
          <t>Linux run (done)</t>
        </is>
      </c>
      <c r="D4" s="12" t="inlineStr">
        <is>
          <t>Windows result</t>
        </is>
      </c>
      <c r="E4" s="12" t="inlineStr">
        <is>
          <t>Environment</t>
        </is>
      </c>
      <c r="F4" s="12" t="inlineStr">
        <is>
          <t>Notes</t>
        </is>
      </c>
    </row>
    <row r="5" ht="15" customHeight="1" s="10">
      <c r="A5" s="18" t="inlineStr">
        <is>
          <t>Folder layout</t>
        </is>
      </c>
      <c r="B5" s="18" t="inlineStr">
        <is>
          <t>shared/, web/, desktop/ side by side</t>
        </is>
      </c>
      <c r="C5" s="18" t="inlineStr">
        <is>
          <t>PASS</t>
        </is>
      </c>
      <c r="D5" s="18" t="n"/>
      <c r="E5" s="18" t="n"/>
      <c r="F5" s="18" t="n"/>
    </row>
    <row r="6" ht="15" customHeight="1" s="10">
      <c r="A6" s="18" t="inlineStr">
        <is>
          <t>Create environment and install libraries</t>
        </is>
      </c>
      <c r="B6" s="18" t="inlineStr">
        <is>
          <t>requirements install on this Windows/Python</t>
        </is>
      </c>
      <c r="C6" s="18" t="inlineStr">
        <is>
          <t>PASS</t>
        </is>
      </c>
      <c r="D6" s="18" t="n"/>
      <c r="E6" s="18" t="n"/>
      <c r="F6" s="18" t="n"/>
    </row>
    <row r="7" ht="23.85" customHeight="1" s="10">
      <c r="A7" s="18" t="inlineStr">
        <is>
          <t>Environment and Windows smoke checks</t>
        </is>
      </c>
      <c r="B7" s="18" t="inlineStr">
        <is>
          <t>Python, libraries, fonts, ports, WebView2, Credential Manager, long paths, round trip, server start</t>
        </is>
      </c>
      <c r="C7" s="18" t="inlineStr">
        <is>
          <t>PASS (Windows-only checks skipped)</t>
        </is>
      </c>
      <c r="D7" s="18" t="n"/>
      <c r="E7" s="18" t="n"/>
      <c r="F7" s="18" t="n"/>
    </row>
    <row r="8" ht="15" customHeight="1" s="10">
      <c r="A8" s="18" t="inlineStr">
        <is>
          <t>Shared engine tests (92)</t>
        </is>
      </c>
      <c r="B8" s="18" t="inlineStr">
        <is>
          <t>render, export, Canva flow, secrets, AI, golden images, Windows compatibility</t>
        </is>
      </c>
      <c r="C8" s="18" t="inlineStr">
        <is>
          <t>PASS (90 + 2 Windows-only skipped)</t>
        </is>
      </c>
      <c r="D8" s="18" t="n"/>
      <c r="E8" s="18" t="n"/>
      <c r="F8" s="18" t="n"/>
    </row>
    <row r="9" ht="15" customHeight="1" s="10">
      <c r="A9" s="18" t="inlineStr">
        <is>
          <t>Website tests (14)</t>
        </is>
      </c>
      <c r="B9" s="18" t="inlineStr">
        <is>
          <t>all server endpoints, security, conflicts, settings</t>
        </is>
      </c>
      <c r="C9" s="18" t="inlineStr">
        <is>
          <t>PASS</t>
        </is>
      </c>
      <c r="D9" s="18" t="n"/>
      <c r="E9" s="18" t="n"/>
      <c r="F9" s="18" t="n"/>
    </row>
    <row r="10" ht="15" customHeight="1" s="10">
      <c r="A10" s="18" t="inlineStr">
        <is>
          <t>Desktop app tests (6)</t>
        </is>
      </c>
      <c r="B10" s="18" t="inlineStr">
        <is>
          <t>window shell start/stop, options, browser fallback</t>
        </is>
      </c>
      <c r="C10" s="18" t="inlineStr">
        <is>
          <t>PASS</t>
        </is>
      </c>
      <c r="D10" s="18" t="n"/>
      <c r="E10" s="18" t="n"/>
      <c r="F10" s="18" t="n"/>
    </row>
    <row r="11" ht="15" customHeight="1" s="10">
      <c r="A11" s="18" t="inlineStr">
        <is>
          <t>Install Chromium</t>
        </is>
      </c>
      <c r="B11" s="18" t="inlineStr">
        <is>
          <t>Playwright browser for the end-to-end test</t>
        </is>
      </c>
      <c r="C11" s="18" t="inlineStr">
        <is>
          <t>PASS</t>
        </is>
      </c>
      <c r="D11" s="18" t="n"/>
      <c r="E11" s="18" t="n"/>
      <c r="F11" s="18" t="n"/>
    </row>
    <row r="12" ht="15" customHeight="1" s="10">
      <c r="A12" s="18" t="inlineStr">
        <is>
          <t>Browser end-to-end test (17 steps)</t>
        </is>
      </c>
      <c r="B12" s="18" t="inlineStr">
        <is>
          <t>editor, undo, reorder, brand kit, conflict, sign-in, push, downloads, phone layout</t>
        </is>
      </c>
      <c r="C12" s="18" t="inlineStr">
        <is>
          <t>PASS</t>
        </is>
      </c>
      <c r="D12" s="18" t="n"/>
      <c r="E12" s="18" t="n"/>
      <c r="F12" s="18" t="n"/>
    </row>
    <row r="13" ht="15" customHeight="1" s="10">
      <c r="A13" s="18" t="inlineStr">
        <is>
          <t>Website launcher starts and answers HTTP</t>
        </is>
      </c>
      <c r="B13" s="18" t="inlineStr">
        <is>
          <t>the real web\app.py</t>
        </is>
      </c>
      <c r="C13" s="18" t="inlineStr">
        <is>
          <t>PASS</t>
        </is>
      </c>
      <c r="D13" s="18" t="n"/>
      <c r="E13" s="18" t="n"/>
      <c r="F13" s="18" t="n"/>
    </row>
  </sheetData>
  <dataValidations count="1">
    <dataValidation sqref="D5:D13" showDropDown="0" showInputMessage="0" showErrorMessage="0" allowBlank="1" type="list" errorStyle="stop" operator="between">
      <formula1>"PASS,FAIL,WARN,SKIP"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2026-10-26T08:50:37Z</dcterms:created>
  <dcterms:modified xmlns:dcterms="http://purl.org/dc/terms/" xmlns:xsi="http://www.w3.org/2001/XMLSchema-instance" xsi:type="dcterms:W3CDTF">2026-10-26T19:25:17Z</dcterms:modified>
  <cp:revision>0</cp:revision>
</cp:coreProperties>
</file>