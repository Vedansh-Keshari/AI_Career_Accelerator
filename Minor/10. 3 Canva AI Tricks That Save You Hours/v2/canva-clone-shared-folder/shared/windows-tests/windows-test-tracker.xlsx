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anual cases" sheetId="2" state="visible" r:id="rId4"/>
    <sheet name="Automated results" sheetId="3" state="visible" r:id="rId5"/>
  </sheets>
  <definedNames>
    <definedName function="false" hidden="true" localSheetId="1" name="_xlnm._FilterDatabase" vbProcedure="false">'Manual cases'!$A$4:$I$34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<sst xmlns="http://schemas.openxmlformats.org/spreadsheetml/2006/main" count="179" uniqueCount="164">
  <si>
    <t xml:space="preserve">Canvas Studio 2.0 - Windows test summary</t>
  </si>
  <si>
    <t xml:space="preserve">Measure</t>
  </si>
  <si>
    <t xml:space="preserve">Count</t>
  </si>
  <si>
    <t xml:space="preserve">Manual cases in total</t>
  </si>
  <si>
    <t xml:space="preserve">Pass</t>
  </si>
  <si>
    <t xml:space="preserve">Fail</t>
  </si>
  <si>
    <t xml:space="preserve">Blocked</t>
  </si>
  <si>
    <t xml:space="preserve">N/A</t>
  </si>
  <si>
    <t xml:space="preserve">Not yet run</t>
  </si>
  <si>
    <t xml:space="preserve">Pass rate of cases run (excluding N/A)</t>
  </si>
  <si>
    <t xml:space="preserve">Automated steps failing on Windows</t>
  </si>
  <si>
    <t xml:space="preserve">Release gate: no Fail in W-01, W-03/W-04, W-08, W-09, W-10, W-13, W-15, W-25, W-26, and 0 failing automated steps.</t>
  </si>
  <si>
    <t xml:space="preserve">Not yet tested anywhere: real Canva sign-in/push, real AI key, the Windows desktop window, the Windows-built exe.</t>
  </si>
  <si>
    <t xml:space="preserve">Canvas Studio 2.0 - manual Windows test cases</t>
  </si>
  <si>
    <t xml:space="preserve">Choose a result in column E (Pass / Fail / Blocked / N/A). Environment IDs are defined in WINDOWS_TEST_DOCUMENT.md section 2.</t>
  </si>
  <si>
    <t xml:space="preserve">ID</t>
  </si>
  <si>
    <t xml:space="preserve">Area</t>
  </si>
  <si>
    <t xml:space="preserve">Steps</t>
  </si>
  <si>
    <t xml:space="preserve">Expected result</t>
  </si>
  <si>
    <t xml:space="preserve">Result</t>
  </si>
  <si>
    <t xml:space="preserve">Environment (E1-E5)</t>
  </si>
  <si>
    <t xml:space="preserve">Tester</t>
  </si>
  <si>
    <t xml:space="preserve">Date</t>
  </si>
  <si>
    <t xml:space="preserve">Notes / defect</t>
  </si>
  <si>
    <t xml:space="preserve">W-01</t>
  </si>
  <si>
    <t xml:space="preserve">Install / start</t>
  </si>
  <si>
    <t xml:space="preserve">Unzip so shared/, web/, desktop/ sit side by side. Double-click web\run.bat on a PC that has never run it.</t>
  </si>
  <si>
    <t xml:space="preserve">A console opens, creates .venv, installs libraries (1-3 min), the browser opens at http://127.0.0.1:5000 showing 'New project'. No error text in the console.</t>
  </si>
  <si>
    <t xml:space="preserve">W-02</t>
  </si>
  <si>
    <t xml:space="preserve">Close it and double-click web\run.bat again.</t>
  </si>
  <si>
    <t xml:space="preserve">Starts in a few seconds (no reinstall). Your earlier projects are listed.</t>
  </si>
  <si>
    <t xml:space="preserve">W-03</t>
  </si>
  <si>
    <t xml:space="preserve">Desktop window</t>
  </si>
  <si>
    <t xml:space="preserve">Double-click desktop\run.bat.</t>
  </si>
  <si>
    <t xml:space="preserve">A native 'Canvas Studio' window (not a browser tab) opens with the same interface. Closing the window ends the program.</t>
  </si>
  <si>
    <t xml:space="preserve">W-04</t>
  </si>
  <si>
    <t xml:space="preserve">On a PC/VM without the WebView2 runtime (or rename it temporarily), run desktop\run.bat.</t>
  </si>
  <si>
    <t xml:space="preserve">Console says it could not open a window and opens the default browser instead; the app works there.</t>
  </si>
  <si>
    <t xml:space="preserve">W-05</t>
  </si>
  <si>
    <t xml:space="preserve">Packaging</t>
  </si>
  <si>
    <t xml:space="preserve">Run desktop\build_windows.bat. Copy dist\CanvasStudio to a PC WITHOUT Python and double-click CanvasStudio.exe.</t>
  </si>
  <si>
    <t xml:space="preserve">Build succeeds; the exe opens the window. Exports (PDF/PPTX/DOCX) and the editor work (this proves the bundled templates and fonts).</t>
  </si>
  <si>
    <t xml:space="preserve">W-06</t>
  </si>
  <si>
    <t xml:space="preserve">Open the unsigned exe from a downloaded zip.</t>
  </si>
  <si>
    <t xml:space="preserve">Expected: Windows SmartScreen warning ('More info' -&gt; 'Run anyway'). Record whether antivirus flags it. (Code-signing is the fix for wider distribution.)</t>
  </si>
  <si>
    <t xml:space="preserve">W-07</t>
  </si>
  <si>
    <t xml:space="preserve">Network</t>
  </si>
  <si>
    <t xml:space="preserve">Watch for a Windows Firewall prompt on first run of web and desktop apps.</t>
  </si>
  <si>
    <t xml:space="preserve">No prompt (the server only listens on 127.0.0.1). If a prompt appears, click Cancel/Block and confirm the app still works.</t>
  </si>
  <si>
    <t xml:space="preserve">W-08</t>
  </si>
  <si>
    <t xml:space="preserve">Downloads</t>
  </si>
  <si>
    <t xml:space="preserve">In the DESKTOP window: Download -&gt; PDF, PowerPoint, PNG zip; on a document: Word. Repeat in the website (Edge and Chrome).</t>
  </si>
  <si>
    <t xml:space="preserve">Each file is saved (location noted) and opens. Desktop window: downloads work or - if the window blocks them - note exactly what happens.</t>
  </si>
  <si>
    <t xml:space="preserve">W-09</t>
  </si>
  <si>
    <t xml:space="preserve">Office files</t>
  </si>
  <si>
    <t xml:space="preserve">Open the exported .pptx in PowerPoint.</t>
  </si>
  <si>
    <t xml:space="preserve">Slides have editable text boxes, bullets, shapes and the background picture; text fits its boxes. Note font substitution if Poppins is not installed.</t>
  </si>
  <si>
    <t xml:space="preserve">W-10</t>
  </si>
  <si>
    <t xml:space="preserve">Open the exported .docx in Word.</t>
  </si>
  <si>
    <t xml:space="preserve">Title, headings and bullet lists use real styles; text is editable; colours match the preview.</t>
  </si>
  <si>
    <t xml:space="preserve">W-11</t>
  </si>
  <si>
    <t xml:space="preserve">Real Canva (website)</t>
  </si>
  <si>
    <t xml:space="preserve">Settings -&gt; paste your Canva client id/secret (after creating an integration and registering http://127.0.0.1:5000/oauth/callback with the scopes listed). Sign in.</t>
  </si>
  <si>
    <t xml:space="preserve">Browser goes to canva.com/api/oauth/authorize, you type your email on Canva's page and approve, you return to the app showing 'Canva: &lt;your name&gt;'. If Canva rejects the http redirect, record its exact message.</t>
  </si>
  <si>
    <t xml:space="preserve">W-12</t>
  </si>
  <si>
    <t xml:space="preserve">Real Canva (desktop)</t>
  </si>
  <si>
    <t xml:space="preserve">Same, in the desktop app (redirect http://127.0.0.1:5001/oauth/callback).</t>
  </si>
  <si>
    <t xml:space="preserve">Your normal browser opens for sign-in; after approving, the callback tab says 'Signed in' and the app window updates within a few seconds.</t>
  </si>
  <si>
    <t xml:space="preserve">W-13</t>
  </si>
  <si>
    <t xml:space="preserve">Real Canva push</t>
  </si>
  <si>
    <t xml:space="preserve">Push a deck, a document and a logo.</t>
  </si>
  <si>
    <t xml:space="preserve">Deck and document appear in Canva with EDITABLE text (click a text box); logo arrives as an image design. Progress text shows in the Push button. 'Open it in Canva' works.</t>
  </si>
  <si>
    <t xml:space="preserve">W-14</t>
  </si>
  <si>
    <t xml:space="preserve">If Canva refuses the .pptx/.docx, note the message.</t>
  </si>
  <si>
    <t xml:space="preserve">App falls back to page images and says so ('Canva did not accept the editable file...'). Send us the exact message.</t>
  </si>
  <si>
    <t xml:space="preserve">W-15</t>
  </si>
  <si>
    <t xml:space="preserve">Secrets</t>
  </si>
  <si>
    <t xml:space="preserve">After signing in, open Windows Credential Manager -&gt; Windows Credentials. Also look in %USERPROFILE%\.canvas_studio.</t>
  </si>
  <si>
    <t xml:space="preserve">An entry named CanvasStudio / master-key exists; secrets.enc is unreadable text; no plain tokens anywhere. Deleting the credential makes the app ask you to sign in again but not crash.</t>
  </si>
  <si>
    <t xml:space="preserve">W-16</t>
  </si>
  <si>
    <t xml:space="preserve">Settings</t>
  </si>
  <si>
    <t xml:space="preserve">Settings: save Canva keys, an AI key, a brand kit. Quit and restart the app.</t>
  </si>
  <si>
    <t xml:space="preserve">All persist (keys shown as 'saved', never displayed). Brand kit can be applied from a project's Look tab.</t>
  </si>
  <si>
    <t xml:space="preserve">W-17</t>
  </si>
  <si>
    <t xml:space="preserve">AI (optional)</t>
  </si>
  <si>
    <t xml:space="preserve">With a real Anthropic key: New project -&gt; From my idea.</t>
  </si>
  <si>
    <t xml:space="preserve">Starter text is written by the AI (toast says so). With a wrong key: a plain message and template text is used.</t>
  </si>
  <si>
    <t xml:space="preserve">W-18</t>
  </si>
  <si>
    <t xml:space="preserve">Editor</t>
  </si>
  <si>
    <t xml:space="preserve">Slide -&gt; Edit freely. Drag, resize with handles, add text/shape/picture, arrow keys, Delete, Ctrl+Z / Ctrl+Y. Try mouse AND touch/pen if available.</t>
  </si>
  <si>
    <t xml:space="preserve">Boxes follow the pointer smoothly, preview matches after a moment, undo/redo step back and forth, nothing jumps or is lost.</t>
  </si>
  <si>
    <t xml:space="preserve">W-19</t>
  </si>
  <si>
    <t xml:space="preserve">Display</t>
  </si>
  <si>
    <t xml:space="preserve">Windows scaling 100%, 125%, 150%, 200%; move the window between two monitors.</t>
  </si>
  <si>
    <t xml:space="preserve">Text is sharp, layout not cut off, boxes line up with the preview.</t>
  </si>
  <si>
    <t xml:space="preserve">W-20</t>
  </si>
  <si>
    <t xml:space="preserve">Windows dark mode on.</t>
  </si>
  <si>
    <t xml:space="preserve">Interface is readable in both light and dark.</t>
  </si>
  <si>
    <t xml:space="preserve">W-21</t>
  </si>
  <si>
    <t xml:space="preserve">Files</t>
  </si>
  <si>
    <t xml:space="preserve">Use a profile whose Documents/home is redirected to OneDrive.</t>
  </si>
  <si>
    <t xml:space="preserve">Saving works; if OneDrive briefly locks a file there is no error. (smoke check shows a WARN for OneDrive.)</t>
  </si>
  <si>
    <t xml:space="preserve">W-22</t>
  </si>
  <si>
    <t xml:space="preserve">Run from a Windows account whose name has spaces or accents, and unzip into a folder with spaces.</t>
  </si>
  <si>
    <t xml:space="preserve">Everything works (projects, uploads, exports).</t>
  </si>
  <si>
    <t xml:space="preserve">W-23</t>
  </si>
  <si>
    <t xml:space="preserve">Unzip into a deeply nested folder (path over 200 characters).</t>
  </si>
  <si>
    <t xml:space="preserve">Either works or the smoke check warns clearly. Record which.</t>
  </si>
  <si>
    <t xml:space="preserve">W-24</t>
  </si>
  <si>
    <t xml:space="preserve">Ports</t>
  </si>
  <si>
    <t xml:space="preserve">Start something on port 5000 (or 5001) first, then start the app.</t>
  </si>
  <si>
    <t xml:space="preserve">A plain message explains the port is busy and what to do - no stack trace.</t>
  </si>
  <si>
    <t xml:space="preserve">W-25</t>
  </si>
  <si>
    <t xml:space="preserve">Safety</t>
  </si>
  <si>
    <t xml:space="preserve">Open the same project in two browser tabs and edit in both.</t>
  </si>
  <si>
    <t xml:space="preserve">The second tab shows 'This project was changed somewhere else' with a Load button; no work is silently overwritten.</t>
  </si>
  <si>
    <t xml:space="preserve">W-26</t>
  </si>
  <si>
    <t xml:space="preserve">Close the window/tab while 'Saving...' or during a push.</t>
  </si>
  <si>
    <t xml:space="preserve">No corrupt project on reopen; Windows asks to confirm leaving if unsaved.</t>
  </si>
  <si>
    <t xml:space="preserve">W-27</t>
  </si>
  <si>
    <t xml:space="preserve">Offline</t>
  </si>
  <si>
    <t xml:space="preserve">Disconnect from the internet and use the demo mode.</t>
  </si>
  <si>
    <t xml:space="preserve">Everything works (fonts are local). Real Canva/AI show a clear 'could not reach' message.</t>
  </si>
  <si>
    <t xml:space="preserve">W-28</t>
  </si>
  <si>
    <t xml:space="preserve">Layout</t>
  </si>
  <si>
    <t xml:space="preserve">Resize the browser to phone width (Edge DevTools device mode).</t>
  </si>
  <si>
    <t xml:space="preserve">Single column; buttons reachable; preview visible.</t>
  </si>
  <si>
    <t xml:space="preserve">W-29</t>
  </si>
  <si>
    <t xml:space="preserve">Cleanup</t>
  </si>
  <si>
    <t xml:space="preserve">Delete %USERPROFILE%\.canvas_studio and the CanvasStudio credential.</t>
  </si>
  <si>
    <t xml:space="preserve">App starts fresh with no errors.</t>
  </si>
  <si>
    <t xml:space="preserve">W-30</t>
  </si>
  <si>
    <t xml:space="preserve">Installer (if built)</t>
  </si>
  <si>
    <t xml:space="preserve">Install CanvasStudio-Setup.exe for the current user, launch from Start menu, then uninstall.</t>
  </si>
  <si>
    <t xml:space="preserve">No admin rights needed; shortcut works; uninstall removes the program (your projects stay in .canvas_studio).</t>
  </si>
  <si>
    <t xml:space="preserve">Automated steps (run-windows-tests.bat)</t>
  </si>
  <si>
    <t xml:space="preserve">Column C = what I recorded on Linux (PowerShell 7 on Linux for the script itself). Fill D-F from windows-test-report.md on the Windows PC.</t>
  </si>
  <si>
    <t xml:space="preserve">Step</t>
  </si>
  <si>
    <t xml:space="preserve">What it proves</t>
  </si>
  <si>
    <t xml:space="preserve">Linux run (done)</t>
  </si>
  <si>
    <t xml:space="preserve">Windows result</t>
  </si>
  <si>
    <t xml:space="preserve">Environment</t>
  </si>
  <si>
    <t xml:space="preserve">Notes</t>
  </si>
  <si>
    <t xml:space="preserve">Folder layout</t>
  </si>
  <si>
    <t xml:space="preserve">shared/, web/, desktop/ side by side</t>
  </si>
  <si>
    <t xml:space="preserve">PASS</t>
  </si>
  <si>
    <t xml:space="preserve">Create environment and install libraries</t>
  </si>
  <si>
    <t xml:space="preserve">requirements install on this Windows/Python</t>
  </si>
  <si>
    <t xml:space="preserve">Environment and Windows smoke checks</t>
  </si>
  <si>
    <t xml:space="preserve">Python, libraries, fonts, ports, WebView2, Credential Manager, long paths, round trip, server start</t>
  </si>
  <si>
    <t xml:space="preserve">PASS (Windows-only checks skipped)</t>
  </si>
  <si>
    <t xml:space="preserve">Shared engine tests (92)</t>
  </si>
  <si>
    <t xml:space="preserve">render, export, Canva flow, secrets, AI, golden images, Windows compatibility</t>
  </si>
  <si>
    <t xml:space="preserve">PASS (90 + 2 Windows-only skipped)</t>
  </si>
  <si>
    <t xml:space="preserve">Website tests (14)</t>
  </si>
  <si>
    <t xml:space="preserve">all server endpoints, security, conflicts, settings</t>
  </si>
  <si>
    <t xml:space="preserve">Desktop app tests (6)</t>
  </si>
  <si>
    <t xml:space="preserve">window shell start/stop, options, browser fallback</t>
  </si>
  <si>
    <t xml:space="preserve">Install Chromium</t>
  </si>
  <si>
    <t xml:space="preserve">Playwright browser for the end-to-end test</t>
  </si>
  <si>
    <t xml:space="preserve">Browser end-to-end test (17 steps)</t>
  </si>
  <si>
    <t xml:space="preserve">editor, undo, reorder, brand kit, conflict, sign-in, push, downloads, phone layout</t>
  </si>
  <si>
    <t xml:space="preserve">Website launcher starts and answers HTTP</t>
  </si>
  <si>
    <t xml:space="preserve">the real web\app.py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</si>
</sst>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n">
        <f aca="false">COUNTA('Manual cases'!A5:A34)</f>
        <v>30</v>
      </c>
    </row>
    <row r="5" customFormat="false" ht="15" hidden="false" customHeight="false" outlineLevel="0" collapsed="false">
      <c r="A5" s="3" t="s">
        <v>4</v>
      </c>
      <c r="B5" s="4" t="n">
        <f aca="false">COUNTIF('Manual cases'!E5:E34,"Pass")</f>
        <v>0</v>
      </c>
    </row>
    <row r="6" customFormat="false" ht="15" hidden="false" customHeight="false" outlineLevel="0" collapsed="false">
      <c r="A6" s="3" t="s">
        <v>5</v>
      </c>
      <c r="B6" s="4" t="n">
        <f aca="false">COUNTIF('Manual cases'!E5:E34,"Fail")</f>
        <v>0</v>
      </c>
    </row>
    <row r="7" customFormat="false" ht="15" hidden="false" customHeight="false" outlineLevel="0" collapsed="false">
      <c r="A7" s="3" t="s">
        <v>6</v>
      </c>
      <c r="B7" s="4" t="n">
        <f aca="false">COUNTIF('Manual cases'!E5:E34,"Blocked")</f>
        <v>0</v>
      </c>
    </row>
    <row r="8" customFormat="false" ht="15" hidden="false" customHeight="false" outlineLevel="0" collapsed="false">
      <c r="A8" s="3" t="s">
        <v>7</v>
      </c>
      <c r="B8" s="4" t="n">
        <f aca="false">COUNTIF('Manual cases'!E5:E34,"N/A")</f>
        <v>0</v>
      </c>
    </row>
    <row r="9" customFormat="false" ht="15" hidden="false" customHeight="false" outlineLevel="0" collapsed="false">
      <c r="A9" s="3" t="s">
        <v>8</v>
      </c>
      <c r="B9" s="4" t="n">
        <f aca="false">B4-B5-B6-B7-B8</f>
        <v>30</v>
      </c>
    </row>
    <row r="10" customFormat="false" ht="15" hidden="false" customHeight="false" outlineLevel="0" collapsed="false">
      <c r="A10" s="3" t="s">
        <v>9</v>
      </c>
      <c r="B10" s="5" t="str">
        <f aca="false">IF(B5+B6+B7=0,"",B5/(B5+B6+B7))</f>
        <v/>
      </c>
    </row>
    <row r="11" customFormat="false" ht="15" hidden="false" customHeight="false" outlineLevel="0" collapsed="false">
      <c r="A11" s="3" t="s">
        <v>10</v>
      </c>
      <c r="B11" s="4" t="n">
        <f aca="false">COUNTIF('Automated results'!D5:D13,"FAIL")</f>
        <v>0</v>
      </c>
    </row>
    <row r="13" customFormat="false" ht="15" hidden="false" customHeight="false" outlineLevel="0" collapsed="false">
      <c r="A13" s="6" t="s">
        <v>11</v>
      </c>
    </row>
    <row r="14" customFormat="false" ht="15" hidden="false" customHeight="false" outlineLevel="0" collapsed="false">
      <c r="A14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7" t="s">
        <v>14</v>
      </c>
    </row>
    <row r="4" customFormat="false" ht="26.85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</row>
    <row r="5" customFormat="false" ht="35.05" hidden="false" customHeight="false" outlineLevel="0" collapsed="false">
      <c r="A5" s="8" t="s">
        <v>24</v>
      </c>
      <c r="B5" s="8" t="s">
        <v>25</v>
      </c>
      <c r="C5" s="8" t="s">
        <v>26</v>
      </c>
      <c r="D5" s="8" t="s">
        <v>27</v>
      </c>
      <c r="E5" s="8"/>
      <c r="F5" s="8"/>
      <c r="G5" s="8"/>
      <c r="H5" s="8"/>
      <c r="I5" s="8"/>
    </row>
    <row r="6" customFormat="false" ht="15" hidden="false" customHeight="false" outlineLevel="0" collapsed="false">
      <c r="A6" s="8" t="s">
        <v>28</v>
      </c>
      <c r="B6" s="8" t="s">
        <v>25</v>
      </c>
      <c r="C6" s="8" t="s">
        <v>29</v>
      </c>
      <c r="D6" s="8" t="s">
        <v>30</v>
      </c>
      <c r="E6" s="8"/>
      <c r="F6" s="8"/>
      <c r="G6" s="8"/>
      <c r="H6" s="8"/>
      <c r="I6" s="8"/>
    </row>
    <row r="7" customFormat="false" ht="23.85" hidden="false" customHeight="false" outlineLevel="0" collapsed="false">
      <c r="A7" s="8" t="s">
        <v>31</v>
      </c>
      <c r="B7" s="8" t="s">
        <v>32</v>
      </c>
      <c r="C7" s="8" t="s">
        <v>33</v>
      </c>
      <c r="D7" s="8" t="s">
        <v>34</v>
      </c>
      <c r="E7" s="8"/>
      <c r="F7" s="8"/>
      <c r="G7" s="8"/>
      <c r="H7" s="8"/>
      <c r="I7" s="8"/>
    </row>
    <row r="8" customFormat="false" ht="23.85" hidden="false" customHeight="false" outlineLevel="0" collapsed="false">
      <c r="A8" s="8" t="s">
        <v>35</v>
      </c>
      <c r="B8" s="8" t="s">
        <v>32</v>
      </c>
      <c r="C8" s="8" t="s">
        <v>36</v>
      </c>
      <c r="D8" s="8" t="s">
        <v>37</v>
      </c>
      <c r="E8" s="8"/>
      <c r="F8" s="8"/>
      <c r="G8" s="8"/>
      <c r="H8" s="8"/>
      <c r="I8" s="8"/>
    </row>
    <row r="9" customFormat="false" ht="23.85" hidden="false" customHeight="false" outlineLevel="0" collapsed="false">
      <c r="A9" s="8" t="s">
        <v>38</v>
      </c>
      <c r="B9" s="8" t="s">
        <v>39</v>
      </c>
      <c r="C9" s="8" t="s">
        <v>40</v>
      </c>
      <c r="D9" s="8" t="s">
        <v>41</v>
      </c>
      <c r="E9" s="8"/>
      <c r="F9" s="8"/>
      <c r="G9" s="8"/>
      <c r="H9" s="8"/>
      <c r="I9" s="8"/>
    </row>
    <row r="10" customFormat="false" ht="35.05" hidden="false" customHeight="false" outlineLevel="0" collapsed="false">
      <c r="A10" s="8" t="s">
        <v>42</v>
      </c>
      <c r="B10" s="8" t="s">
        <v>39</v>
      </c>
      <c r="C10" s="8" t="s">
        <v>43</v>
      </c>
      <c r="D10" s="8" t="s">
        <v>44</v>
      </c>
      <c r="E10" s="8"/>
      <c r="F10" s="8"/>
      <c r="G10" s="8"/>
      <c r="H10" s="8"/>
      <c r="I10" s="8"/>
    </row>
    <row r="11" customFormat="false" ht="23.85" hidden="false" customHeight="false" outlineLevel="0" collapsed="false">
      <c r="A11" s="8" t="s">
        <v>45</v>
      </c>
      <c r="B11" s="8" t="s">
        <v>46</v>
      </c>
      <c r="C11" s="8" t="s">
        <v>47</v>
      </c>
      <c r="D11" s="8" t="s">
        <v>48</v>
      </c>
      <c r="E11" s="8"/>
      <c r="F11" s="8"/>
      <c r="G11" s="8"/>
      <c r="H11" s="8"/>
      <c r="I11" s="8"/>
    </row>
    <row r="12" customFormat="false" ht="35.05" hidden="false" customHeight="false" outlineLevel="0" collapsed="false">
      <c r="A12" s="8" t="s">
        <v>49</v>
      </c>
      <c r="B12" s="8" t="s">
        <v>50</v>
      </c>
      <c r="C12" s="8" t="s">
        <v>51</v>
      </c>
      <c r="D12" s="8" t="s">
        <v>52</v>
      </c>
      <c r="E12" s="8"/>
      <c r="F12" s="8"/>
      <c r="G12" s="8"/>
      <c r="H12" s="8"/>
      <c r="I12" s="8"/>
    </row>
    <row r="13" customFormat="false" ht="23.85" hidden="false" customHeight="false" outlineLevel="0" collapsed="false">
      <c r="A13" s="8" t="s">
        <v>53</v>
      </c>
      <c r="B13" s="8" t="s">
        <v>54</v>
      </c>
      <c r="C13" s="8" t="s">
        <v>55</v>
      </c>
      <c r="D13" s="8" t="s">
        <v>56</v>
      </c>
      <c r="E13" s="8"/>
      <c r="F13" s="8"/>
      <c r="G13" s="8"/>
      <c r="H13" s="8"/>
      <c r="I13" s="8"/>
    </row>
    <row r="14" customFormat="false" ht="23.85" hidden="false" customHeight="false" outlineLevel="0" collapsed="false">
      <c r="A14" s="8" t="s">
        <v>57</v>
      </c>
      <c r="B14" s="8" t="s">
        <v>54</v>
      </c>
      <c r="C14" s="8" t="s">
        <v>58</v>
      </c>
      <c r="D14" s="8" t="s">
        <v>59</v>
      </c>
      <c r="E14" s="8"/>
      <c r="F14" s="8"/>
      <c r="G14" s="8"/>
      <c r="H14" s="8"/>
      <c r="I14" s="8"/>
    </row>
    <row r="15" customFormat="false" ht="35.05" hidden="false" customHeight="false" outlineLevel="0" collapsed="false">
      <c r="A15" s="8" t="s">
        <v>60</v>
      </c>
      <c r="B15" s="8" t="s">
        <v>61</v>
      </c>
      <c r="C15" s="8" t="s">
        <v>62</v>
      </c>
      <c r="D15" s="8" t="s">
        <v>63</v>
      </c>
      <c r="E15" s="8"/>
      <c r="F15" s="8"/>
      <c r="G15" s="8"/>
      <c r="H15" s="8"/>
      <c r="I15" s="8"/>
    </row>
    <row r="16" customFormat="false" ht="23.85" hidden="false" customHeight="false" outlineLevel="0" collapsed="false">
      <c r="A16" s="8" t="s">
        <v>64</v>
      </c>
      <c r="B16" s="8" t="s">
        <v>65</v>
      </c>
      <c r="C16" s="8" t="s">
        <v>66</v>
      </c>
      <c r="D16" s="8" t="s">
        <v>67</v>
      </c>
      <c r="E16" s="8"/>
      <c r="F16" s="8"/>
      <c r="G16" s="8"/>
      <c r="H16" s="8"/>
      <c r="I16" s="8"/>
    </row>
    <row r="17" customFormat="false" ht="35.05" hidden="false" customHeight="false" outlineLevel="0" collapsed="false">
      <c r="A17" s="8" t="s">
        <v>68</v>
      </c>
      <c r="B17" s="8" t="s">
        <v>69</v>
      </c>
      <c r="C17" s="8" t="s">
        <v>70</v>
      </c>
      <c r="D17" s="8" t="s">
        <v>71</v>
      </c>
      <c r="E17" s="8"/>
      <c r="F17" s="8"/>
      <c r="G17" s="8"/>
      <c r="H17" s="8"/>
      <c r="I17" s="8"/>
    </row>
    <row r="18" customFormat="false" ht="23.85" hidden="false" customHeight="false" outlineLevel="0" collapsed="false">
      <c r="A18" s="8" t="s">
        <v>72</v>
      </c>
      <c r="B18" s="8" t="s">
        <v>69</v>
      </c>
      <c r="C18" s="8" t="s">
        <v>73</v>
      </c>
      <c r="D18" s="8" t="s">
        <v>74</v>
      </c>
      <c r="E18" s="8"/>
      <c r="F18" s="8"/>
      <c r="G18" s="8"/>
      <c r="H18" s="8"/>
      <c r="I18" s="8"/>
    </row>
    <row r="19" customFormat="false" ht="35.05" hidden="false" customHeight="false" outlineLevel="0" collapsed="false">
      <c r="A19" s="8" t="s">
        <v>75</v>
      </c>
      <c r="B19" s="8" t="s">
        <v>76</v>
      </c>
      <c r="C19" s="8" t="s">
        <v>77</v>
      </c>
      <c r="D19" s="8" t="s">
        <v>78</v>
      </c>
      <c r="E19" s="8"/>
      <c r="F19" s="8"/>
      <c r="G19" s="8"/>
      <c r="H19" s="8"/>
      <c r="I19" s="8"/>
    </row>
    <row r="20" customFormat="false" ht="23.85" hidden="false" customHeight="false" outlineLevel="0" collapsed="false">
      <c r="A20" s="8" t="s">
        <v>79</v>
      </c>
      <c r="B20" s="8" t="s">
        <v>80</v>
      </c>
      <c r="C20" s="8" t="s">
        <v>81</v>
      </c>
      <c r="D20" s="8" t="s">
        <v>82</v>
      </c>
      <c r="E20" s="8"/>
      <c r="F20" s="8"/>
      <c r="G20" s="8"/>
      <c r="H20" s="8"/>
      <c r="I20" s="8"/>
    </row>
    <row r="21" customFormat="false" ht="23.85" hidden="false" customHeight="false" outlineLevel="0" collapsed="false">
      <c r="A21" s="8" t="s">
        <v>83</v>
      </c>
      <c r="B21" s="8" t="s">
        <v>84</v>
      </c>
      <c r="C21" s="8" t="s">
        <v>85</v>
      </c>
      <c r="D21" s="8" t="s">
        <v>86</v>
      </c>
      <c r="E21" s="8"/>
      <c r="F21" s="8"/>
      <c r="G21" s="8"/>
      <c r="H21" s="8"/>
      <c r="I21" s="8"/>
    </row>
    <row r="22" customFormat="false" ht="35.05" hidden="false" customHeight="false" outlineLevel="0" collapsed="false">
      <c r="A22" s="8" t="s">
        <v>87</v>
      </c>
      <c r="B22" s="8" t="s">
        <v>88</v>
      </c>
      <c r="C22" s="8" t="s">
        <v>89</v>
      </c>
      <c r="D22" s="8" t="s">
        <v>90</v>
      </c>
      <c r="E22" s="8"/>
      <c r="F22" s="8"/>
      <c r="G22" s="8"/>
      <c r="H22" s="8"/>
      <c r="I22" s="8"/>
    </row>
    <row r="23" customFormat="false" ht="23.85" hidden="false" customHeight="false" outlineLevel="0" collapsed="false">
      <c r="A23" s="8" t="s">
        <v>91</v>
      </c>
      <c r="B23" s="8" t="s">
        <v>92</v>
      </c>
      <c r="C23" s="8" t="s">
        <v>93</v>
      </c>
      <c r="D23" s="8" t="s">
        <v>94</v>
      </c>
      <c r="E23" s="8"/>
      <c r="F23" s="8"/>
      <c r="G23" s="8"/>
      <c r="H23" s="8"/>
      <c r="I23" s="8"/>
    </row>
    <row r="24" customFormat="false" ht="15" hidden="false" customHeight="false" outlineLevel="0" collapsed="false">
      <c r="A24" s="8" t="s">
        <v>95</v>
      </c>
      <c r="B24" s="8" t="s">
        <v>92</v>
      </c>
      <c r="C24" s="8" t="s">
        <v>96</v>
      </c>
      <c r="D24" s="8" t="s">
        <v>97</v>
      </c>
      <c r="E24" s="8"/>
      <c r="F24" s="8"/>
      <c r="G24" s="8"/>
      <c r="H24" s="8"/>
      <c r="I24" s="8"/>
    </row>
    <row r="25" customFormat="false" ht="23.85" hidden="false" customHeight="false" outlineLevel="0" collapsed="false">
      <c r="A25" s="8" t="s">
        <v>98</v>
      </c>
      <c r="B25" s="8" t="s">
        <v>99</v>
      </c>
      <c r="C25" s="8" t="s">
        <v>100</v>
      </c>
      <c r="D25" s="8" t="s">
        <v>101</v>
      </c>
      <c r="E25" s="8"/>
      <c r="F25" s="8"/>
      <c r="G25" s="8"/>
      <c r="H25" s="8"/>
      <c r="I25" s="8"/>
    </row>
    <row r="26" customFormat="false" ht="23.85" hidden="false" customHeight="false" outlineLevel="0" collapsed="false">
      <c r="A26" s="8" t="s">
        <v>102</v>
      </c>
      <c r="B26" s="8" t="s">
        <v>99</v>
      </c>
      <c r="C26" s="8" t="s">
        <v>103</v>
      </c>
      <c r="D26" s="8" t="s">
        <v>104</v>
      </c>
      <c r="E26" s="8"/>
      <c r="F26" s="8"/>
      <c r="G26" s="8"/>
      <c r="H26" s="8"/>
      <c r="I26" s="8"/>
    </row>
    <row r="27" customFormat="false" ht="15" hidden="false" customHeight="false" outlineLevel="0" collapsed="false">
      <c r="A27" s="8" t="s">
        <v>105</v>
      </c>
      <c r="B27" s="8" t="s">
        <v>99</v>
      </c>
      <c r="C27" s="8" t="s">
        <v>106</v>
      </c>
      <c r="D27" s="8" t="s">
        <v>107</v>
      </c>
      <c r="E27" s="8"/>
      <c r="F27" s="8"/>
      <c r="G27" s="8"/>
      <c r="H27" s="8"/>
      <c r="I27" s="8"/>
    </row>
    <row r="28" customFormat="false" ht="15" hidden="false" customHeight="false" outlineLevel="0" collapsed="false">
      <c r="A28" s="8" t="s">
        <v>108</v>
      </c>
      <c r="B28" s="8" t="s">
        <v>109</v>
      </c>
      <c r="C28" s="8" t="s">
        <v>110</v>
      </c>
      <c r="D28" s="8" t="s">
        <v>111</v>
      </c>
      <c r="E28" s="8"/>
      <c r="F28" s="8"/>
      <c r="G28" s="8"/>
      <c r="H28" s="8"/>
      <c r="I28" s="8"/>
    </row>
    <row r="29" customFormat="false" ht="23.85" hidden="false" customHeight="false" outlineLevel="0" collapsed="false">
      <c r="A29" s="8" t="s">
        <v>112</v>
      </c>
      <c r="B29" s="8" t="s">
        <v>113</v>
      </c>
      <c r="C29" s="8" t="s">
        <v>114</v>
      </c>
      <c r="D29" s="8" t="s">
        <v>115</v>
      </c>
      <c r="E29" s="8"/>
      <c r="F29" s="8"/>
      <c r="G29" s="8"/>
      <c r="H29" s="8"/>
      <c r="I29" s="8"/>
    </row>
    <row r="30" customFormat="false" ht="15" hidden="false" customHeight="false" outlineLevel="0" collapsed="false">
      <c r="A30" s="8" t="s">
        <v>116</v>
      </c>
      <c r="B30" s="8" t="s">
        <v>113</v>
      </c>
      <c r="C30" s="8" t="s">
        <v>117</v>
      </c>
      <c r="D30" s="8" t="s">
        <v>118</v>
      </c>
      <c r="E30" s="8"/>
      <c r="F30" s="8"/>
      <c r="G30" s="8"/>
      <c r="H30" s="8"/>
      <c r="I30" s="8"/>
    </row>
    <row r="31" customFormat="false" ht="23.85" hidden="false" customHeight="false" outlineLevel="0" collapsed="false">
      <c r="A31" s="8" t="s">
        <v>119</v>
      </c>
      <c r="B31" s="8" t="s">
        <v>120</v>
      </c>
      <c r="C31" s="8" t="s">
        <v>121</v>
      </c>
      <c r="D31" s="8" t="s">
        <v>122</v>
      </c>
      <c r="E31" s="8"/>
      <c r="F31" s="8"/>
      <c r="G31" s="8"/>
      <c r="H31" s="8"/>
      <c r="I31" s="8"/>
    </row>
    <row r="32" customFormat="false" ht="15" hidden="false" customHeight="false" outlineLevel="0" collapsed="false">
      <c r="A32" s="8" t="s">
        <v>123</v>
      </c>
      <c r="B32" s="8" t="s">
        <v>124</v>
      </c>
      <c r="C32" s="8" t="s">
        <v>125</v>
      </c>
      <c r="D32" s="8" t="s">
        <v>126</v>
      </c>
      <c r="E32" s="8"/>
      <c r="F32" s="8"/>
      <c r="G32" s="8"/>
      <c r="H32" s="8"/>
      <c r="I32" s="8"/>
    </row>
    <row r="33" customFormat="false" ht="23.85" hidden="false" customHeight="false" outlineLevel="0" collapsed="false">
      <c r="A33" s="8" t="s">
        <v>127</v>
      </c>
      <c r="B33" s="8" t="s">
        <v>128</v>
      </c>
      <c r="C33" s="8" t="s">
        <v>129</v>
      </c>
      <c r="D33" s="8" t="s">
        <v>130</v>
      </c>
      <c r="E33" s="8"/>
      <c r="F33" s="8"/>
      <c r="G33" s="8"/>
      <c r="H33" s="8"/>
      <c r="I33" s="8"/>
    </row>
    <row r="34" customFormat="false" ht="23.85" hidden="false" customHeight="false" outlineLevel="0" collapsed="false">
      <c r="A34" s="8" t="s">
        <v>131</v>
      </c>
      <c r="B34" s="8" t="s">
        <v>132</v>
      </c>
      <c r="C34" s="8" t="s">
        <v>133</v>
      </c>
      <c r="D34" s="8" t="s">
        <v>134</v>
      </c>
      <c r="E34" s="8"/>
      <c r="F34" s="8"/>
      <c r="G34" s="8"/>
      <c r="H34" s="8"/>
      <c r="I34" s="8"/>
    </row>
  </sheetData>
  <autoFilter ref="A4:I34"/>
  <conditionalFormatting sqref="E5:E34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  <cfRule type="cellIs" priority="4" operator="equal" aboveAverage="0" equalAverage="0" bottom="0" percent="0" rank="0" text="" dxfId="5">
      <formula>"Blocked"</formula>
    </cfRule>
  </conditionalFormatting>
  <dataValidations count="1">
    <dataValidation allowBlank="true" errorStyle="stop" operator="between" showDropDown="false" showErrorMessage="false" showInputMessage="false" sqref="E5:E34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70"/>
    <col collapsed="false" customWidth="true" hidden="false" outlineLevel="0" max="3" min="3" style="0" width="34"/>
    <col collapsed="false" customWidth="true" hidden="false" outlineLevel="0" max="5" min="4" style="0" width="1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7" t="s">
        <v>136</v>
      </c>
    </row>
    <row r="4" customFormat="false" ht="15" hidden="false" customHeight="false" outlineLevel="0" collapsed="false">
      <c r="A4" s="2" t="s">
        <v>137</v>
      </c>
      <c r="B4" s="2" t="s">
        <v>138</v>
      </c>
      <c r="C4" s="2" t="s">
        <v>139</v>
      </c>
      <c r="D4" s="2" t="s">
        <v>140</v>
      </c>
      <c r="E4" s="2" t="s">
        <v>141</v>
      </c>
      <c r="F4" s="2" t="s">
        <v>142</v>
      </c>
    </row>
    <row r="5" customFormat="false" ht="15" hidden="false" customHeight="false" outlineLevel="0" collapsed="false">
      <c r="A5" s="8" t="s">
        <v>143</v>
      </c>
      <c r="B5" s="8" t="s">
        <v>144</v>
      </c>
      <c r="C5" s="8" t="s">
        <v>145</v>
      </c>
      <c r="D5" s="8"/>
      <c r="E5" s="8"/>
      <c r="F5" s="8"/>
    </row>
    <row r="6" customFormat="false" ht="15" hidden="false" customHeight="false" outlineLevel="0" collapsed="false">
      <c r="A6" s="8" t="s">
        <v>146</v>
      </c>
      <c r="B6" s="8" t="s">
        <v>147</v>
      </c>
      <c r="C6" s="8" t="s">
        <v>145</v>
      </c>
      <c r="D6" s="8"/>
      <c r="E6" s="8"/>
      <c r="F6" s="8"/>
    </row>
    <row r="7" customFormat="false" ht="23.85" hidden="false" customHeight="false" outlineLevel="0" collapsed="false">
      <c r="A7" s="8" t="s">
        <v>148</v>
      </c>
      <c r="B7" s="8" t="s">
        <v>149</v>
      </c>
      <c r="C7" s="8" t="s">
        <v>150</v>
      </c>
      <c r="D7" s="8"/>
      <c r="E7" s="8"/>
      <c r="F7" s="8"/>
    </row>
    <row r="8" customFormat="false" ht="15" hidden="false" customHeight="false" outlineLevel="0" collapsed="false">
      <c r="A8" s="8" t="s">
        <v>151</v>
      </c>
      <c r="B8" s="8" t="s">
        <v>152</v>
      </c>
      <c r="C8" s="8" t="s">
        <v>153</v>
      </c>
      <c r="D8" s="8"/>
      <c r="E8" s="8"/>
      <c r="F8" s="8"/>
    </row>
    <row r="9" customFormat="false" ht="15" hidden="false" customHeight="false" outlineLevel="0" collapsed="false">
      <c r="A9" s="8" t="s">
        <v>154</v>
      </c>
      <c r="B9" s="8" t="s">
        <v>155</v>
      </c>
      <c r="C9" s="8" t="s">
        <v>145</v>
      </c>
      <c r="D9" s="8"/>
      <c r="E9" s="8"/>
      <c r="F9" s="8"/>
    </row>
    <row r="10" customFormat="false" ht="15" hidden="false" customHeight="false" outlineLevel="0" collapsed="false">
      <c r="A10" s="8" t="s">
        <v>156</v>
      </c>
      <c r="B10" s="8" t="s">
        <v>157</v>
      </c>
      <c r="C10" s="8" t="s">
        <v>145</v>
      </c>
      <c r="D10" s="8"/>
      <c r="E10" s="8"/>
      <c r="F10" s="8"/>
    </row>
    <row r="11" customFormat="false" ht="15" hidden="false" customHeight="false" outlineLevel="0" collapsed="false">
      <c r="A11" s="8" t="s">
        <v>158</v>
      </c>
      <c r="B11" s="8" t="s">
        <v>159</v>
      </c>
      <c r="C11" s="8" t="s">
        <v>145</v>
      </c>
      <c r="D11" s="8"/>
      <c r="E11" s="8"/>
      <c r="F11" s="8"/>
    </row>
    <row r="12" customFormat="false" ht="15" hidden="false" customHeight="false" outlineLevel="0" collapsed="false">
      <c r="A12" s="8" t="s">
        <v>160</v>
      </c>
      <c r="B12" s="8" t="s">
        <v>161</v>
      </c>
      <c r="C12" s="8" t="s">
        <v>145</v>
      </c>
      <c r="D12" s="8"/>
      <c r="E12" s="8"/>
      <c r="F12" s="8"/>
    </row>
    <row r="13" customFormat="false" ht="15" hidden="false" customHeight="false" outlineLevel="0" collapsed="false">
      <c r="A13" s="8" t="s">
        <v>162</v>
      </c>
      <c r="B13" s="8" t="s">
        <v>163</v>
      </c>
      <c r="C13" s="8" t="s">
        <v>145</v>
      </c>
      <c r="D13" s="8"/>
      <c r="E13" s="8"/>
      <c r="F13" s="8"/>
    </row>
  </sheetData>
  <dataValidations count="1">
    <dataValidation allowBlank="true" errorStyle="stop" operator="between" showDropDown="false" showErrorMessage="false" showInputMessage="false" sqref="D5:D13" type="list">
      <formula1>"PASS,FAIL,WARN,SKIP"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2026-10-26T08:50:37Z</dcterms:created>
  <dc:creator>openpyxl</dc:creator>
  <dc:description/>
  <dc:language>en-US</dc:language>
  <cp:lastModifiedBy/>
  <dcterms:modified xsi:type="dcterms:W3CDTF">2026-10-26T08:50:37Z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